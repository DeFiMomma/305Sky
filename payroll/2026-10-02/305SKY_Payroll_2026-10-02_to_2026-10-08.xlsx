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  <sheet name="QuickBooks Entry" sheetId="2" state="visible" r:id="rId4"/>
    <sheet name="Rates" sheetId="3" state="visible" r:id="rId5"/>
    <sheet name="Hours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<sst xmlns="http://schemas.openxmlformats.org/spreadsheetml/2006/main" count="100" uniqueCount="58">
  <si>
    <t xml:space="preserve">305 SKY LLC — Payroll</t>
  </si>
  <si>
    <t xml:space="preserve">Pay period: Oct 2 – Oct 8, 2026  (Weekly; workweek runs Fri–Thu)</t>
  </si>
  <si>
    <t xml:space="preserve">Overtime after (hrs / week)</t>
  </si>
  <si>
    <t xml:space="preserve">Overtime multiplier</t>
  </si>
  <si>
    <t xml:space="preserve">Employee</t>
  </si>
  <si>
    <t xml:space="preserve">Week</t>
  </si>
  <si>
    <t xml:space="preserve">Rate</t>
  </si>
  <si>
    <t xml:space="preserve">Hours Worked</t>
  </si>
  <si>
    <t xml:space="preserve">Hours Withheld</t>
  </si>
  <si>
    <t xml:space="preserve">Payable Hrs</t>
  </si>
  <si>
    <t xml:space="preserve">Regular Hrs</t>
  </si>
  <si>
    <t xml:space="preserve">OT Hrs</t>
  </si>
  <si>
    <t xml:space="preserve">Regular Pay</t>
  </si>
  <si>
    <t xml:space="preserve">OT Pay</t>
  </si>
  <si>
    <t xml:space="preserve">Gross Pay</t>
  </si>
  <si>
    <t xml:space="preserve">Flag</t>
  </si>
  <si>
    <t xml:space="preserve">Christopher Perez</t>
  </si>
  <si>
    <t xml:space="preserve">Eduardo Gutierrez</t>
  </si>
  <si>
    <t xml:space="preserve">Enriquillo Munoz</t>
  </si>
  <si>
    <t xml:space="preserve">Johnley Theagene</t>
  </si>
  <si>
    <t xml:space="preserve">Marcelo Rodrigues</t>
  </si>
  <si>
    <t xml:space="preserve">Marco Paz</t>
  </si>
  <si>
    <t xml:space="preserve">Mateo Moreno</t>
  </si>
  <si>
    <t xml:space="preserve">Nestor Marrero</t>
  </si>
  <si>
    <t xml:space="preserve">Robert Gil</t>
  </si>
  <si>
    <t xml:space="preserve">Rodrigo Cunha</t>
  </si>
  <si>
    <t xml:space="preserve">Ryan Willis</t>
  </si>
  <si>
    <t xml:space="preserve">TOTAL</t>
  </si>
  <si>
    <t xml:space="preserve">How it works:</t>
  </si>
  <si>
    <t xml:space="preserve">• Hours come from the 'Hours Detail' tab (time-clock Payroll Report). Rows for the same person at different locations are added together before overtime.</t>
  </si>
  <si>
    <t xml:space="preserve">• Overtime: hours over B4 in each Fri–Thu workweek are paid at the B5 multiplier. Overtime is never averaged across the two weeks of a bi-weekly period.</t>
  </si>
  <si>
    <t xml:space="preserve">• Rates and withheld hours come from the 'Rates' tab (from the 2026 rate sheet). Yellow cells need your input; blue text = typed-in values.</t>
  </si>
  <si>
    <t xml:space="preserve">• Gross pay is before taxes and deductions — QuickBooks figures those when you run payroll.</t>
  </si>
  <si>
    <t xml:space="preserve">Enter in QuickBooks Payroll — Oct 2 – Oct 8, 2026</t>
  </si>
  <si>
    <t xml:space="preserve">Regular Hours</t>
  </si>
  <si>
    <t xml:space="preserve">Overtime Hours</t>
  </si>
  <si>
    <t xml:space="preserve">QuickBooks multiplies hours by the rate saved on each employee's profile — make sure those rates match column D.</t>
  </si>
  <si>
    <t xml:space="preserve">Hourly Rate</t>
  </si>
  <si>
    <t xml:space="preserve">Hours Withheld (this period)</t>
  </si>
  <si>
    <t xml:space="preserve">Note</t>
  </si>
  <si>
    <t xml:space="preserve">Spelled "Nestor Murroro" on the rate sheet</t>
  </si>
  <si>
    <t xml:space="preserve">Tom Marshal</t>
  </si>
  <si>
    <t xml:space="preserve">Rate sheet note: "withold 10 Hours" (confirm whether one-time or every period)</t>
  </si>
  <si>
    <t xml:space="preserve">Mike Markley</t>
  </si>
  <si>
    <t xml:space="preserve">RATE NOT ON RATE SHEET</t>
  </si>
  <si>
    <t xml:space="preserve">Location</t>
  </si>
  <si>
    <t xml:space="preserve">Fri 10/2</t>
  </si>
  <si>
    <t xml:space="preserve">Sat 10/3</t>
  </si>
  <si>
    <t xml:space="preserve">Sun 10/4</t>
  </si>
  <si>
    <t xml:space="preserve">Mon 10/5</t>
  </si>
  <si>
    <t xml:space="preserve">Tue 10/6</t>
  </si>
  <si>
    <t xml:space="preserve">Wed 10/7</t>
  </si>
  <si>
    <t xml:space="preserve">Thu 10/8</t>
  </si>
  <si>
    <t xml:space="preserve">Week 1 Hrs</t>
  </si>
  <si>
    <t xml:space="preserve">Report Worked</t>
  </si>
  <si>
    <t xml:space="preserve">Check</t>
  </si>
  <si>
    <t xml:space="preserve">AWAY</t>
  </si>
  <si>
    <t xml:space="preserve">FLL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</si>
</sst>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\x"/>
    <numFmt numFmtId="167" formatCode="\$#,##0.00;&quot;($&quot;#,##0.00\);\-"/>
    <numFmt numFmtId="168" formatCode="0.00;\(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40</v>
      </c>
    </row>
    <row r="5" customFormat="false" ht="15" hidden="false" customHeight="false" outlineLevel="0" collapsed="false">
      <c r="A5" s="3" t="s">
        <v>3</v>
      </c>
      <c r="B5" s="5" t="n">
        <v>1.5</v>
      </c>
    </row>
    <row r="7" customFormat="false" ht="15" hidden="false" customHeight="fals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</row>
    <row r="8" customFormat="false" ht="15" hidden="false" customHeight="false" outlineLevel="0" collapsed="false">
      <c r="A8" s="7" t="s">
        <v>16</v>
      </c>
      <c r="B8" s="7" t="n">
        <v>1</v>
      </c>
      <c r="C8" s="8" t="str">
        <f aca="false">IFERROR(IF(INDEX(Rates!$B$2:$B$14,MATCH(A8,Rates!$A$2:$A$14,0))="","",INDEX(Rates!$B$2:$B$14,MATCH(A8,Rates!$A$2:$A$14,0))),"")</f>
        <v/>
      </c>
      <c r="D8" s="9" t="n">
        <f aca="false">ROUND(SUMIFS('Hours Detail'!$J$2:$J$13,'Hours Detail'!$A$2:$A$13,A8),2)</f>
        <v>34.4</v>
      </c>
      <c r="E8" s="9" t="n">
        <f aca="false">IFERROR(INDEX(Rates!$C$2:$C$14,MATCH(A8,Rates!$A$2:$A$14,0)),0)</f>
        <v>0</v>
      </c>
      <c r="F8" s="10" t="n">
        <f aca="false">ROUND(MAX(D8-E8,0),2)</f>
        <v>34.4</v>
      </c>
      <c r="G8" s="10" t="n">
        <f aca="false">MIN(F8,$B$4)</f>
        <v>34.4</v>
      </c>
      <c r="H8" s="10" t="n">
        <f aca="false">ROUND(MAX(F8-$B$4,0),2)</f>
        <v>0</v>
      </c>
      <c r="I8" s="11" t="str">
        <f aca="false">IF(C8="","",ROUND(G8*C8,2))</f>
        <v/>
      </c>
      <c r="J8" s="11" t="str">
        <f aca="false">IF(C8="","",ROUND(H8*C8*$B$5,2))</f>
        <v/>
      </c>
      <c r="K8" s="12" t="str">
        <f aca="false">IF(C8="","",I8+J8)</f>
        <v/>
      </c>
      <c r="L8" s="13" t="str">
        <f aca="false">IF(C8="","RATE NEEDED",IF(E8&gt;0,"Hours withheld — confirm",""))</f>
        <v>RATE NEEDED</v>
      </c>
    </row>
    <row r="9" customFormat="false" ht="15" hidden="false" customHeight="false" outlineLevel="0" collapsed="false">
      <c r="A9" s="7" t="s">
        <v>17</v>
      </c>
      <c r="B9" s="7" t="n">
        <v>1</v>
      </c>
      <c r="C9" s="8" t="n">
        <f aca="false">IFERROR(IF(INDEX(Rates!$B$2:$B$14,MATCH(A9,Rates!$A$2:$A$14,0))="","",INDEX(Rates!$B$2:$B$14,MATCH(A9,Rates!$A$2:$A$14,0))),"")</f>
        <v>28</v>
      </c>
      <c r="D9" s="9" t="n">
        <f aca="false">ROUND(SUMIFS('Hours Detail'!$J$2:$J$13,'Hours Detail'!$A$2:$A$13,A9),2)</f>
        <v>41.5</v>
      </c>
      <c r="E9" s="9" t="n">
        <f aca="false">IFERROR(INDEX(Rates!$C$2:$C$14,MATCH(A9,Rates!$A$2:$A$14,0)),0)</f>
        <v>0</v>
      </c>
      <c r="F9" s="10" t="n">
        <f aca="false">ROUND(MAX(D9-E9,0),2)</f>
        <v>41.5</v>
      </c>
      <c r="G9" s="10" t="n">
        <f aca="false">MIN(F9,$B$4)</f>
        <v>40</v>
      </c>
      <c r="H9" s="10" t="n">
        <f aca="false">ROUND(MAX(F9-$B$4,0),2)</f>
        <v>1.5</v>
      </c>
      <c r="I9" s="11" t="n">
        <f aca="false">IF(C9="","",ROUND(G9*C9,2))</f>
        <v>1120</v>
      </c>
      <c r="J9" s="11" t="n">
        <f aca="false">IF(C9="","",ROUND(H9*C9*$B$5,2))</f>
        <v>63</v>
      </c>
      <c r="K9" s="12" t="n">
        <f aca="false">IF(C9="","",I9+J9)</f>
        <v>1183</v>
      </c>
      <c r="L9" s="13" t="str">
        <f aca="false">IF(C9="","RATE NEEDED",IF(E9&gt;0,"Hours withheld — confirm",""))</f>
        <v/>
      </c>
    </row>
    <row r="10" customFormat="false" ht="15" hidden="false" customHeight="false" outlineLevel="0" collapsed="false">
      <c r="A10" s="7" t="s">
        <v>18</v>
      </c>
      <c r="B10" s="7" t="n">
        <v>1</v>
      </c>
      <c r="C10" s="8" t="n">
        <f aca="false">IFERROR(IF(INDEX(Rates!$B$2:$B$14,MATCH(A10,Rates!$A$2:$A$14,0))="","",INDEX(Rates!$B$2:$B$14,MATCH(A10,Rates!$A$2:$A$14,0))),"")</f>
        <v>35</v>
      </c>
      <c r="D10" s="9" t="n">
        <f aca="false">ROUND(SUMIFS('Hours Detail'!$J$2:$J$13,'Hours Detail'!$A$2:$A$13,A10),2)</f>
        <v>39.8</v>
      </c>
      <c r="E10" s="9" t="n">
        <f aca="false">IFERROR(INDEX(Rates!$C$2:$C$14,MATCH(A10,Rates!$A$2:$A$14,0)),0)</f>
        <v>0</v>
      </c>
      <c r="F10" s="10" t="n">
        <f aca="false">ROUND(MAX(D10-E10,0),2)</f>
        <v>39.8</v>
      </c>
      <c r="G10" s="10" t="n">
        <f aca="false">MIN(F10,$B$4)</f>
        <v>39.8</v>
      </c>
      <c r="H10" s="10" t="n">
        <f aca="false">ROUND(MAX(F10-$B$4,0),2)</f>
        <v>0</v>
      </c>
      <c r="I10" s="11" t="n">
        <f aca="false">IF(C10="","",ROUND(G10*C10,2))</f>
        <v>1393</v>
      </c>
      <c r="J10" s="11" t="n">
        <f aca="false">IF(C10="","",ROUND(H10*C10*$B$5,2))</f>
        <v>0</v>
      </c>
      <c r="K10" s="12" t="n">
        <f aca="false">IF(C10="","",I10+J10)</f>
        <v>1393</v>
      </c>
      <c r="L10" s="13" t="str">
        <f aca="false">IF(C10="","RATE NEEDED",IF(E10&gt;0,"Hours withheld — confirm",""))</f>
        <v/>
      </c>
    </row>
    <row r="11" customFormat="false" ht="15" hidden="false" customHeight="false" outlineLevel="0" collapsed="false">
      <c r="A11" s="7" t="s">
        <v>19</v>
      </c>
      <c r="B11" s="7" t="n">
        <v>1</v>
      </c>
      <c r="C11" s="8" t="str">
        <f aca="false">IFERROR(IF(INDEX(Rates!$B$2:$B$14,MATCH(A11,Rates!$A$2:$A$14,0))="","",INDEX(Rates!$B$2:$B$14,MATCH(A11,Rates!$A$2:$A$14,0))),"")</f>
        <v/>
      </c>
      <c r="D11" s="9" t="n">
        <f aca="false">ROUND(SUMIFS('Hours Detail'!$J$2:$J$13,'Hours Detail'!$A$2:$A$13,A11),2)</f>
        <v>43.4</v>
      </c>
      <c r="E11" s="9" t="n">
        <f aca="false">IFERROR(INDEX(Rates!$C$2:$C$14,MATCH(A11,Rates!$A$2:$A$14,0)),0)</f>
        <v>0</v>
      </c>
      <c r="F11" s="10" t="n">
        <f aca="false">ROUND(MAX(D11-E11,0),2)</f>
        <v>43.4</v>
      </c>
      <c r="G11" s="10" t="n">
        <f aca="false">MIN(F11,$B$4)</f>
        <v>40</v>
      </c>
      <c r="H11" s="10" t="n">
        <f aca="false">ROUND(MAX(F11-$B$4,0),2)</f>
        <v>3.4</v>
      </c>
      <c r="I11" s="11" t="str">
        <f aca="false">IF(C11="","",ROUND(G11*C11,2))</f>
        <v/>
      </c>
      <c r="J11" s="11" t="str">
        <f aca="false">IF(C11="","",ROUND(H11*C11*$B$5,2))</f>
        <v/>
      </c>
      <c r="K11" s="12" t="str">
        <f aca="false">IF(C11="","",I11+J11)</f>
        <v/>
      </c>
      <c r="L11" s="13" t="str">
        <f aca="false">IF(C11="","RATE NEEDED",IF(E11&gt;0,"Hours withheld — confirm",""))</f>
        <v>RATE NEEDED</v>
      </c>
    </row>
    <row r="12" customFormat="false" ht="15" hidden="false" customHeight="false" outlineLevel="0" collapsed="false">
      <c r="A12" s="7" t="s">
        <v>20</v>
      </c>
      <c r="B12" s="7" t="n">
        <v>1</v>
      </c>
      <c r="C12" s="8" t="n">
        <f aca="false">IFERROR(IF(INDEX(Rates!$B$2:$B$14,MATCH(A12,Rates!$A$2:$A$14,0))="","",INDEX(Rates!$B$2:$B$14,MATCH(A12,Rates!$A$2:$A$14,0))),"")</f>
        <v>30</v>
      </c>
      <c r="D12" s="9" t="n">
        <f aca="false">ROUND(SUMIFS('Hours Detail'!$J$2:$J$13,'Hours Detail'!$A$2:$A$13,A12),2)</f>
        <v>45.7</v>
      </c>
      <c r="E12" s="9" t="n">
        <f aca="false">IFERROR(INDEX(Rates!$C$2:$C$14,MATCH(A12,Rates!$A$2:$A$14,0)),0)</f>
        <v>0</v>
      </c>
      <c r="F12" s="10" t="n">
        <f aca="false">ROUND(MAX(D12-E12,0),2)</f>
        <v>45.7</v>
      </c>
      <c r="G12" s="10" t="n">
        <f aca="false">MIN(F12,$B$4)</f>
        <v>40</v>
      </c>
      <c r="H12" s="10" t="n">
        <f aca="false">ROUND(MAX(F12-$B$4,0),2)</f>
        <v>5.7</v>
      </c>
      <c r="I12" s="11" t="n">
        <f aca="false">IF(C12="","",ROUND(G12*C12,2))</f>
        <v>1200</v>
      </c>
      <c r="J12" s="11" t="n">
        <f aca="false">IF(C12="","",ROUND(H12*C12*$B$5,2))</f>
        <v>256.5</v>
      </c>
      <c r="K12" s="12" t="n">
        <f aca="false">IF(C12="","",I12+J12)</f>
        <v>1456.5</v>
      </c>
      <c r="L12" s="13" t="str">
        <f aca="false">IF(C12="","RATE NEEDED",IF(E12&gt;0,"Hours withheld — confirm",""))</f>
        <v/>
      </c>
    </row>
    <row r="13" customFormat="false" ht="15" hidden="false" customHeight="false" outlineLevel="0" collapsed="false">
      <c r="A13" s="7" t="s">
        <v>21</v>
      </c>
      <c r="B13" s="7" t="n">
        <v>1</v>
      </c>
      <c r="C13" s="8" t="n">
        <f aca="false">IFERROR(IF(INDEX(Rates!$B$2:$B$14,MATCH(A13,Rates!$A$2:$A$14,0))="","",INDEX(Rates!$B$2:$B$14,MATCH(A13,Rates!$A$2:$A$14,0))),"")</f>
        <v>26</v>
      </c>
      <c r="D13" s="9" t="n">
        <f aca="false">ROUND(SUMIFS('Hours Detail'!$J$2:$J$13,'Hours Detail'!$A$2:$A$13,A13),2)</f>
        <v>36.6</v>
      </c>
      <c r="E13" s="9" t="n">
        <f aca="false">IFERROR(INDEX(Rates!$C$2:$C$14,MATCH(A13,Rates!$A$2:$A$14,0)),0)</f>
        <v>0</v>
      </c>
      <c r="F13" s="10" t="n">
        <f aca="false">ROUND(MAX(D13-E13,0),2)</f>
        <v>36.6</v>
      </c>
      <c r="G13" s="10" t="n">
        <f aca="false">MIN(F13,$B$4)</f>
        <v>36.6</v>
      </c>
      <c r="H13" s="10" t="n">
        <f aca="false">ROUND(MAX(F13-$B$4,0),2)</f>
        <v>0</v>
      </c>
      <c r="I13" s="11" t="n">
        <f aca="false">IF(C13="","",ROUND(G13*C13,2))</f>
        <v>951.6</v>
      </c>
      <c r="J13" s="11" t="n">
        <f aca="false">IF(C13="","",ROUND(H13*C13*$B$5,2))</f>
        <v>0</v>
      </c>
      <c r="K13" s="12" t="n">
        <f aca="false">IF(C13="","",I13+J13)</f>
        <v>951.6</v>
      </c>
      <c r="L13" s="13" t="str">
        <f aca="false">IF(C13="","RATE NEEDED",IF(E13&gt;0,"Hours withheld — confirm",""))</f>
        <v/>
      </c>
    </row>
    <row r="14" customFormat="false" ht="15" hidden="false" customHeight="false" outlineLevel="0" collapsed="false">
      <c r="A14" s="7" t="s">
        <v>22</v>
      </c>
      <c r="B14" s="7" t="n">
        <v>1</v>
      </c>
      <c r="C14" s="8" t="n">
        <f aca="false">IFERROR(IF(INDEX(Rates!$B$2:$B$14,MATCH(A14,Rates!$A$2:$A$14,0))="","",INDEX(Rates!$B$2:$B$14,MATCH(A14,Rates!$A$2:$A$14,0))),"")</f>
        <v>20</v>
      </c>
      <c r="D14" s="9" t="n">
        <f aca="false">ROUND(SUMIFS('Hours Detail'!$J$2:$J$13,'Hours Detail'!$A$2:$A$13,A14),2)</f>
        <v>23.4</v>
      </c>
      <c r="E14" s="9" t="n">
        <f aca="false">IFERROR(INDEX(Rates!$C$2:$C$14,MATCH(A14,Rates!$A$2:$A$14,0)),0)</f>
        <v>10</v>
      </c>
      <c r="F14" s="10" t="n">
        <f aca="false">ROUND(MAX(D14-E14,0),2)</f>
        <v>13.4</v>
      </c>
      <c r="G14" s="10" t="n">
        <f aca="false">MIN(F14,$B$4)</f>
        <v>13.4</v>
      </c>
      <c r="H14" s="10" t="n">
        <f aca="false">ROUND(MAX(F14-$B$4,0),2)</f>
        <v>0</v>
      </c>
      <c r="I14" s="11" t="n">
        <f aca="false">IF(C14="","",ROUND(G14*C14,2))</f>
        <v>268</v>
      </c>
      <c r="J14" s="11" t="n">
        <f aca="false">IF(C14="","",ROUND(H14*C14*$B$5,2))</f>
        <v>0</v>
      </c>
      <c r="K14" s="12" t="n">
        <f aca="false">IF(C14="","",I14+J14)</f>
        <v>268</v>
      </c>
      <c r="L14" s="13" t="str">
        <f aca="false">IF(C14="","RATE NEEDED",IF(E14&gt;0,"Hours withheld — confirm",""))</f>
        <v>Hours withheld — confirm</v>
      </c>
    </row>
    <row r="15" customFormat="false" ht="15" hidden="false" customHeight="false" outlineLevel="0" collapsed="false">
      <c r="A15" s="7" t="s">
        <v>23</v>
      </c>
      <c r="B15" s="7" t="n">
        <v>1</v>
      </c>
      <c r="C15" s="8" t="n">
        <f aca="false">IFERROR(IF(INDEX(Rates!$B$2:$B$14,MATCH(A15,Rates!$A$2:$A$14,0))="","",INDEX(Rates!$B$2:$B$14,MATCH(A15,Rates!$A$2:$A$14,0))),"")</f>
        <v>20</v>
      </c>
      <c r="D15" s="9" t="n">
        <f aca="false">ROUND(SUMIFS('Hours Detail'!$J$2:$J$13,'Hours Detail'!$A$2:$A$13,A15),2)</f>
        <v>44.1</v>
      </c>
      <c r="E15" s="9" t="n">
        <f aca="false">IFERROR(INDEX(Rates!$C$2:$C$14,MATCH(A15,Rates!$A$2:$A$14,0)),0)</f>
        <v>0</v>
      </c>
      <c r="F15" s="10" t="n">
        <f aca="false">ROUND(MAX(D15-E15,0),2)</f>
        <v>44.1</v>
      </c>
      <c r="G15" s="10" t="n">
        <f aca="false">MIN(F15,$B$4)</f>
        <v>40</v>
      </c>
      <c r="H15" s="10" t="n">
        <f aca="false">ROUND(MAX(F15-$B$4,0),2)</f>
        <v>4.1</v>
      </c>
      <c r="I15" s="11" t="n">
        <f aca="false">IF(C15="","",ROUND(G15*C15,2))</f>
        <v>800</v>
      </c>
      <c r="J15" s="11" t="n">
        <f aca="false">IF(C15="","",ROUND(H15*C15*$B$5,2))</f>
        <v>123</v>
      </c>
      <c r="K15" s="12" t="n">
        <f aca="false">IF(C15="","",I15+J15)</f>
        <v>923</v>
      </c>
      <c r="L15" s="13" t="str">
        <f aca="false">IF(C15="","RATE NEEDED",IF(E15&gt;0,"Hours withheld — confirm",""))</f>
        <v/>
      </c>
    </row>
    <row r="16" customFormat="false" ht="15" hidden="false" customHeight="false" outlineLevel="0" collapsed="false">
      <c r="A16" s="7" t="s">
        <v>24</v>
      </c>
      <c r="B16" s="7" t="n">
        <v>1</v>
      </c>
      <c r="C16" s="8" t="n">
        <f aca="false">IFERROR(IF(INDEX(Rates!$B$2:$B$14,MATCH(A16,Rates!$A$2:$A$14,0))="","",INDEX(Rates!$B$2:$B$14,MATCH(A16,Rates!$A$2:$A$14,0))),"")</f>
        <v>40</v>
      </c>
      <c r="D16" s="9" t="n">
        <f aca="false">ROUND(SUMIFS('Hours Detail'!$J$2:$J$13,'Hours Detail'!$A$2:$A$13,A16),2)</f>
        <v>44.4</v>
      </c>
      <c r="E16" s="9" t="n">
        <f aca="false">IFERROR(INDEX(Rates!$C$2:$C$14,MATCH(A16,Rates!$A$2:$A$14,0)),0)</f>
        <v>0</v>
      </c>
      <c r="F16" s="10" t="n">
        <f aca="false">ROUND(MAX(D16-E16,0),2)</f>
        <v>44.4</v>
      </c>
      <c r="G16" s="10" t="n">
        <f aca="false">MIN(F16,$B$4)</f>
        <v>40</v>
      </c>
      <c r="H16" s="10" t="n">
        <f aca="false">ROUND(MAX(F16-$B$4,0),2)</f>
        <v>4.4</v>
      </c>
      <c r="I16" s="11" t="n">
        <f aca="false">IF(C16="","",ROUND(G16*C16,2))</f>
        <v>1600</v>
      </c>
      <c r="J16" s="11" t="n">
        <f aca="false">IF(C16="","",ROUND(H16*C16*$B$5,2))</f>
        <v>264</v>
      </c>
      <c r="K16" s="12" t="n">
        <f aca="false">IF(C16="","",I16+J16)</f>
        <v>1864</v>
      </c>
      <c r="L16" s="13" t="str">
        <f aca="false">IF(C16="","RATE NEEDED",IF(E16&gt;0,"Hours withheld — confirm",""))</f>
        <v/>
      </c>
    </row>
    <row r="17" customFormat="false" ht="15" hidden="false" customHeight="false" outlineLevel="0" collapsed="false">
      <c r="A17" s="7" t="s">
        <v>25</v>
      </c>
      <c r="B17" s="7" t="n">
        <v>1</v>
      </c>
      <c r="C17" s="8" t="n">
        <f aca="false">IFERROR(IF(INDEX(Rates!$B$2:$B$14,MATCH(A17,Rates!$A$2:$A$14,0))="","",INDEX(Rates!$B$2:$B$14,MATCH(A17,Rates!$A$2:$A$14,0))),"")</f>
        <v>30</v>
      </c>
      <c r="D17" s="9" t="n">
        <f aca="false">ROUND(SUMIFS('Hours Detail'!$J$2:$J$13,'Hours Detail'!$A$2:$A$13,A17),2)</f>
        <v>50.4</v>
      </c>
      <c r="E17" s="9" t="n">
        <f aca="false">IFERROR(INDEX(Rates!$C$2:$C$14,MATCH(A17,Rates!$A$2:$A$14,0)),0)</f>
        <v>0</v>
      </c>
      <c r="F17" s="10" t="n">
        <f aca="false">ROUND(MAX(D17-E17,0),2)</f>
        <v>50.4</v>
      </c>
      <c r="G17" s="10" t="n">
        <f aca="false">MIN(F17,$B$4)</f>
        <v>40</v>
      </c>
      <c r="H17" s="10" t="n">
        <f aca="false">ROUND(MAX(F17-$B$4,0),2)</f>
        <v>10.4</v>
      </c>
      <c r="I17" s="11" t="n">
        <f aca="false">IF(C17="","",ROUND(G17*C17,2))</f>
        <v>1200</v>
      </c>
      <c r="J17" s="11" t="n">
        <f aca="false">IF(C17="","",ROUND(H17*C17*$B$5,2))</f>
        <v>468</v>
      </c>
      <c r="K17" s="12" t="n">
        <f aca="false">IF(C17="","",I17+J17)</f>
        <v>1668</v>
      </c>
      <c r="L17" s="13" t="str">
        <f aca="false">IF(C17="","RATE NEEDED",IF(E17&gt;0,"Hours withheld — confirm",""))</f>
        <v/>
      </c>
    </row>
    <row r="18" customFormat="false" ht="15" hidden="false" customHeight="false" outlineLevel="0" collapsed="false">
      <c r="A18" s="7" t="s">
        <v>26</v>
      </c>
      <c r="B18" s="7" t="n">
        <v>1</v>
      </c>
      <c r="C18" s="8" t="str">
        <f aca="false">IFERROR(IF(INDEX(Rates!$B$2:$B$14,MATCH(A18,Rates!$A$2:$A$14,0))="","",INDEX(Rates!$B$2:$B$14,MATCH(A18,Rates!$A$2:$A$14,0))),"")</f>
        <v/>
      </c>
      <c r="D18" s="9" t="n">
        <f aca="false">ROUND(SUMIFS('Hours Detail'!$J$2:$J$13,'Hours Detail'!$A$2:$A$13,A18),2)</f>
        <v>46.4</v>
      </c>
      <c r="E18" s="9" t="n">
        <f aca="false">IFERROR(INDEX(Rates!$C$2:$C$14,MATCH(A18,Rates!$A$2:$A$14,0)),0)</f>
        <v>0</v>
      </c>
      <c r="F18" s="10" t="n">
        <f aca="false">ROUND(MAX(D18-E18,0),2)</f>
        <v>46.4</v>
      </c>
      <c r="G18" s="10" t="n">
        <f aca="false">MIN(F18,$B$4)</f>
        <v>40</v>
      </c>
      <c r="H18" s="10" t="n">
        <f aca="false">ROUND(MAX(F18-$B$4,0),2)</f>
        <v>6.4</v>
      </c>
      <c r="I18" s="11" t="str">
        <f aca="false">IF(C18="","",ROUND(G18*C18,2))</f>
        <v/>
      </c>
      <c r="J18" s="11" t="str">
        <f aca="false">IF(C18="","",ROUND(H18*C18*$B$5,2))</f>
        <v/>
      </c>
      <c r="K18" s="12" t="str">
        <f aca="false">IF(C18="","",I18+J18)</f>
        <v/>
      </c>
      <c r="L18" s="13" t="str">
        <f aca="false">IF(C18="","RATE NEEDED",IF(E18&gt;0,"Hours withheld — confirm",""))</f>
        <v>RATE NEEDED</v>
      </c>
    </row>
    <row r="19" customFormat="false" ht="15" hidden="false" customHeight="false" outlineLevel="0" collapsed="false">
      <c r="A19" s="14" t="s">
        <v>27</v>
      </c>
      <c r="B19" s="15"/>
      <c r="C19" s="15"/>
      <c r="D19" s="16" t="n">
        <f aca="false">SUM(D8:D18)</f>
        <v>450.1</v>
      </c>
      <c r="E19" s="16" t="n">
        <f aca="false">SUM(E8:E18)</f>
        <v>10</v>
      </c>
      <c r="F19" s="16" t="n">
        <f aca="false">SUM(F8:F18)</f>
        <v>440.1</v>
      </c>
      <c r="G19" s="16" t="n">
        <f aca="false">SUM(G8:G18)</f>
        <v>404.2</v>
      </c>
      <c r="H19" s="16" t="n">
        <f aca="false">SUM(H8:H18)</f>
        <v>35.9</v>
      </c>
      <c r="I19" s="17" t="n">
        <f aca="false">SUM(I8:I18)</f>
        <v>8532.6</v>
      </c>
      <c r="J19" s="17" t="n">
        <f aca="false">SUM(J8:J18)</f>
        <v>1174.5</v>
      </c>
      <c r="K19" s="17" t="n">
        <f aca="false">SUM(K8:K18)</f>
        <v>9707.1</v>
      </c>
      <c r="L19" s="18" t="str">
        <f aca="false">IF(COUNTIF(L8:L18,"RATE NEEDED")&gt;0,COUNTIF(L8:L18,"RATE NEEDED")&amp;" rate(s) missing — total incomplete","")</f>
        <v>3 rate(s) missing — total incomplete</v>
      </c>
    </row>
    <row r="21" customFormat="false" ht="15" hidden="false" customHeight="false" outlineLevel="0" collapsed="false">
      <c r="A21" s="19" t="s">
        <v>28</v>
      </c>
    </row>
    <row r="22" customFormat="false" ht="15" hidden="false" customHeight="false" outlineLevel="0" collapsed="false">
      <c r="A22" s="2" t="s">
        <v>29</v>
      </c>
    </row>
    <row r="23" customFormat="false" ht="15" hidden="false" customHeight="false" outlineLevel="0" collapsed="false">
      <c r="A23" s="2" t="s">
        <v>30</v>
      </c>
    </row>
    <row r="24" customFormat="false" ht="15" hidden="false" customHeight="false" outlineLevel="0" collapsed="false">
      <c r="A24" s="2" t="s">
        <v>31</v>
      </c>
    </row>
    <row r="25" customFormat="false" ht="15" hidden="false" customHeight="false" outlineLevel="0" collapsed="false">
      <c r="A25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6" t="s">
        <v>4</v>
      </c>
      <c r="B3" s="6" t="s">
        <v>34</v>
      </c>
      <c r="C3" s="6" t="s">
        <v>35</v>
      </c>
      <c r="D3" s="6" t="s">
        <v>6</v>
      </c>
      <c r="E3" s="6" t="s">
        <v>14</v>
      </c>
    </row>
    <row r="4" customFormat="false" ht="15" hidden="false" customHeight="false" outlineLevel="0" collapsed="false">
      <c r="A4" s="3" t="s">
        <v>16</v>
      </c>
      <c r="B4" s="20" t="n">
        <f aca="false">SUMIFS(Payroll!$G$8:$G$18,Payroll!$A$8:$A$18,A4)</f>
        <v>34.4</v>
      </c>
      <c r="C4" s="20" t="n">
        <f aca="false">SUMIFS(Payroll!$H$8:$H$18,Payroll!$A$8:$A$18,A4)</f>
        <v>0</v>
      </c>
      <c r="D4" s="21" t="str">
        <f aca="false">INDEX(Payroll!$C$8:$C$18,MATCH(A4,Payroll!$A$8:$A$18,0))</f>
        <v/>
      </c>
      <c r="E4" s="22" t="str">
        <f aca="false">IF(D4="","RATE NEEDED",SUMIFS(Payroll!$K$8:$K$18,Payroll!$A$8:$A$18,A4))</f>
        <v>RATE NEEDED</v>
      </c>
    </row>
    <row r="5" customFormat="false" ht="15" hidden="false" customHeight="false" outlineLevel="0" collapsed="false">
      <c r="A5" s="3" t="s">
        <v>17</v>
      </c>
      <c r="B5" s="20" t="n">
        <f aca="false">SUMIFS(Payroll!$G$8:$G$18,Payroll!$A$8:$A$18,A5)</f>
        <v>40</v>
      </c>
      <c r="C5" s="20" t="n">
        <f aca="false">SUMIFS(Payroll!$H$8:$H$18,Payroll!$A$8:$A$18,A5)</f>
        <v>1.5</v>
      </c>
      <c r="D5" s="21" t="n">
        <f aca="false">INDEX(Payroll!$C$8:$C$18,MATCH(A5,Payroll!$A$8:$A$18,0))</f>
        <v>28</v>
      </c>
      <c r="E5" s="22" t="n">
        <f aca="false">IF(D5="","RATE NEEDED",SUMIFS(Payroll!$K$8:$K$18,Payroll!$A$8:$A$18,A5))</f>
        <v>1183</v>
      </c>
    </row>
    <row r="6" customFormat="false" ht="15" hidden="false" customHeight="false" outlineLevel="0" collapsed="false">
      <c r="A6" s="3" t="s">
        <v>18</v>
      </c>
      <c r="B6" s="20" t="n">
        <f aca="false">SUMIFS(Payroll!$G$8:$G$18,Payroll!$A$8:$A$18,A6)</f>
        <v>39.8</v>
      </c>
      <c r="C6" s="20" t="n">
        <f aca="false">SUMIFS(Payroll!$H$8:$H$18,Payroll!$A$8:$A$18,A6)</f>
        <v>0</v>
      </c>
      <c r="D6" s="21" t="n">
        <f aca="false">INDEX(Payroll!$C$8:$C$18,MATCH(A6,Payroll!$A$8:$A$18,0))</f>
        <v>35</v>
      </c>
      <c r="E6" s="22" t="n">
        <f aca="false">IF(D6="","RATE NEEDED",SUMIFS(Payroll!$K$8:$K$18,Payroll!$A$8:$A$18,A6))</f>
        <v>1393</v>
      </c>
    </row>
    <row r="7" customFormat="false" ht="15" hidden="false" customHeight="false" outlineLevel="0" collapsed="false">
      <c r="A7" s="3" t="s">
        <v>19</v>
      </c>
      <c r="B7" s="20" t="n">
        <f aca="false">SUMIFS(Payroll!$G$8:$G$18,Payroll!$A$8:$A$18,A7)</f>
        <v>40</v>
      </c>
      <c r="C7" s="20" t="n">
        <f aca="false">SUMIFS(Payroll!$H$8:$H$18,Payroll!$A$8:$A$18,A7)</f>
        <v>3.4</v>
      </c>
      <c r="D7" s="21" t="str">
        <f aca="false">INDEX(Payroll!$C$8:$C$18,MATCH(A7,Payroll!$A$8:$A$18,0))</f>
        <v/>
      </c>
      <c r="E7" s="22" t="str">
        <f aca="false">IF(D7="","RATE NEEDED",SUMIFS(Payroll!$K$8:$K$18,Payroll!$A$8:$A$18,A7))</f>
        <v>RATE NEEDED</v>
      </c>
    </row>
    <row r="8" customFormat="false" ht="15" hidden="false" customHeight="false" outlineLevel="0" collapsed="false">
      <c r="A8" s="3" t="s">
        <v>20</v>
      </c>
      <c r="B8" s="20" t="n">
        <f aca="false">SUMIFS(Payroll!$G$8:$G$18,Payroll!$A$8:$A$18,A8)</f>
        <v>40</v>
      </c>
      <c r="C8" s="20" t="n">
        <f aca="false">SUMIFS(Payroll!$H$8:$H$18,Payroll!$A$8:$A$18,A8)</f>
        <v>5.7</v>
      </c>
      <c r="D8" s="21" t="n">
        <f aca="false">INDEX(Payroll!$C$8:$C$18,MATCH(A8,Payroll!$A$8:$A$18,0))</f>
        <v>30</v>
      </c>
      <c r="E8" s="22" t="n">
        <f aca="false">IF(D8="","RATE NEEDED",SUMIFS(Payroll!$K$8:$K$18,Payroll!$A$8:$A$18,A8))</f>
        <v>1456.5</v>
      </c>
    </row>
    <row r="9" customFormat="false" ht="15" hidden="false" customHeight="false" outlineLevel="0" collapsed="false">
      <c r="A9" s="3" t="s">
        <v>21</v>
      </c>
      <c r="B9" s="20" t="n">
        <f aca="false">SUMIFS(Payroll!$G$8:$G$18,Payroll!$A$8:$A$18,A9)</f>
        <v>36.6</v>
      </c>
      <c r="C9" s="20" t="n">
        <f aca="false">SUMIFS(Payroll!$H$8:$H$18,Payroll!$A$8:$A$18,A9)</f>
        <v>0</v>
      </c>
      <c r="D9" s="21" t="n">
        <f aca="false">INDEX(Payroll!$C$8:$C$18,MATCH(A9,Payroll!$A$8:$A$18,0))</f>
        <v>26</v>
      </c>
      <c r="E9" s="22" t="n">
        <f aca="false">IF(D9="","RATE NEEDED",SUMIFS(Payroll!$K$8:$K$18,Payroll!$A$8:$A$18,A9))</f>
        <v>951.6</v>
      </c>
    </row>
    <row r="10" customFormat="false" ht="15" hidden="false" customHeight="false" outlineLevel="0" collapsed="false">
      <c r="A10" s="3" t="s">
        <v>22</v>
      </c>
      <c r="B10" s="20" t="n">
        <f aca="false">SUMIFS(Payroll!$G$8:$G$18,Payroll!$A$8:$A$18,A10)</f>
        <v>13.4</v>
      </c>
      <c r="C10" s="20" t="n">
        <f aca="false">SUMIFS(Payroll!$H$8:$H$18,Payroll!$A$8:$A$18,A10)</f>
        <v>0</v>
      </c>
      <c r="D10" s="21" t="n">
        <f aca="false">INDEX(Payroll!$C$8:$C$18,MATCH(A10,Payroll!$A$8:$A$18,0))</f>
        <v>20</v>
      </c>
      <c r="E10" s="22" t="n">
        <f aca="false">IF(D10="","RATE NEEDED",SUMIFS(Payroll!$K$8:$K$18,Payroll!$A$8:$A$18,A10))</f>
        <v>268</v>
      </c>
    </row>
    <row r="11" customFormat="false" ht="15" hidden="false" customHeight="false" outlineLevel="0" collapsed="false">
      <c r="A11" s="3" t="s">
        <v>23</v>
      </c>
      <c r="B11" s="20" t="n">
        <f aca="false">SUMIFS(Payroll!$G$8:$G$18,Payroll!$A$8:$A$18,A11)</f>
        <v>40</v>
      </c>
      <c r="C11" s="20" t="n">
        <f aca="false">SUMIFS(Payroll!$H$8:$H$18,Payroll!$A$8:$A$18,A11)</f>
        <v>4.1</v>
      </c>
      <c r="D11" s="21" t="n">
        <f aca="false">INDEX(Payroll!$C$8:$C$18,MATCH(A11,Payroll!$A$8:$A$18,0))</f>
        <v>20</v>
      </c>
      <c r="E11" s="22" t="n">
        <f aca="false">IF(D11="","RATE NEEDED",SUMIFS(Payroll!$K$8:$K$18,Payroll!$A$8:$A$18,A11))</f>
        <v>923</v>
      </c>
    </row>
    <row r="12" customFormat="false" ht="15" hidden="false" customHeight="false" outlineLevel="0" collapsed="false">
      <c r="A12" s="3" t="s">
        <v>24</v>
      </c>
      <c r="B12" s="20" t="n">
        <f aca="false">SUMIFS(Payroll!$G$8:$G$18,Payroll!$A$8:$A$18,A12)</f>
        <v>40</v>
      </c>
      <c r="C12" s="20" t="n">
        <f aca="false">SUMIFS(Payroll!$H$8:$H$18,Payroll!$A$8:$A$18,A12)</f>
        <v>4.4</v>
      </c>
      <c r="D12" s="21" t="n">
        <f aca="false">INDEX(Payroll!$C$8:$C$18,MATCH(A12,Payroll!$A$8:$A$18,0))</f>
        <v>40</v>
      </c>
      <c r="E12" s="22" t="n">
        <f aca="false">IF(D12="","RATE NEEDED",SUMIFS(Payroll!$K$8:$K$18,Payroll!$A$8:$A$18,A12))</f>
        <v>1864</v>
      </c>
    </row>
    <row r="13" customFormat="false" ht="15" hidden="false" customHeight="false" outlineLevel="0" collapsed="false">
      <c r="A13" s="3" t="s">
        <v>25</v>
      </c>
      <c r="B13" s="20" t="n">
        <f aca="false">SUMIFS(Payroll!$G$8:$G$18,Payroll!$A$8:$A$18,A13)</f>
        <v>40</v>
      </c>
      <c r="C13" s="20" t="n">
        <f aca="false">SUMIFS(Payroll!$H$8:$H$18,Payroll!$A$8:$A$18,A13)</f>
        <v>10.4</v>
      </c>
      <c r="D13" s="21" t="n">
        <f aca="false">INDEX(Payroll!$C$8:$C$18,MATCH(A13,Payroll!$A$8:$A$18,0))</f>
        <v>30</v>
      </c>
      <c r="E13" s="22" t="n">
        <f aca="false">IF(D13="","RATE NEEDED",SUMIFS(Payroll!$K$8:$K$18,Payroll!$A$8:$A$18,A13))</f>
        <v>1668</v>
      </c>
    </row>
    <row r="14" customFormat="false" ht="15" hidden="false" customHeight="false" outlineLevel="0" collapsed="false">
      <c r="A14" s="3" t="s">
        <v>26</v>
      </c>
      <c r="B14" s="20" t="n">
        <f aca="false">SUMIFS(Payroll!$G$8:$G$18,Payroll!$A$8:$A$18,A14)</f>
        <v>40</v>
      </c>
      <c r="C14" s="20" t="n">
        <f aca="false">SUMIFS(Payroll!$H$8:$H$18,Payroll!$A$8:$A$18,A14)</f>
        <v>6.4</v>
      </c>
      <c r="D14" s="21" t="str">
        <f aca="false">INDEX(Payroll!$C$8:$C$18,MATCH(A14,Payroll!$A$8:$A$18,0))</f>
        <v/>
      </c>
      <c r="E14" s="22" t="str">
        <f aca="false">IF(D14="","RATE NEEDED",SUMIFS(Payroll!$K$8:$K$18,Payroll!$A$8:$A$18,A14))</f>
        <v>RATE NEEDED</v>
      </c>
    </row>
    <row r="15" customFormat="false" ht="15" hidden="false" customHeight="false" outlineLevel="0" collapsed="false">
      <c r="A15" s="14" t="s">
        <v>27</v>
      </c>
      <c r="B15" s="16" t="n">
        <f aca="false">SUM(B4:B14)</f>
        <v>404.2</v>
      </c>
      <c r="C15" s="16" t="n">
        <f aca="false">SUM(C4:C14)</f>
        <v>35.9</v>
      </c>
      <c r="D15" s="15"/>
      <c r="E15" s="17" t="n">
        <f aca="false">SUM(E4:E14)</f>
        <v>9707.1</v>
      </c>
    </row>
    <row r="17" customFormat="false" ht="15" hidden="false" customHeight="false" outlineLevel="0" collapsed="false">
      <c r="A17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6" t="s">
        <v>4</v>
      </c>
      <c r="B1" s="6" t="s">
        <v>37</v>
      </c>
      <c r="C1" s="6" t="s">
        <v>38</v>
      </c>
      <c r="D1" s="6" t="s">
        <v>39</v>
      </c>
    </row>
    <row r="2" customFormat="false" ht="15" hidden="false" customHeight="false" outlineLevel="0" collapsed="false">
      <c r="A2" s="3" t="s">
        <v>24</v>
      </c>
      <c r="B2" s="23" t="n">
        <v>40</v>
      </c>
      <c r="C2" s="24" t="n">
        <v>0</v>
      </c>
      <c r="D2" s="2"/>
    </row>
    <row r="3" customFormat="false" ht="15" hidden="false" customHeight="false" outlineLevel="0" collapsed="false">
      <c r="A3" s="3" t="s">
        <v>23</v>
      </c>
      <c r="B3" s="23" t="n">
        <v>20</v>
      </c>
      <c r="C3" s="24" t="n">
        <v>0</v>
      </c>
      <c r="D3" s="2" t="s">
        <v>40</v>
      </c>
    </row>
    <row r="4" customFormat="false" ht="15" hidden="false" customHeight="false" outlineLevel="0" collapsed="false">
      <c r="A4" s="3" t="s">
        <v>21</v>
      </c>
      <c r="B4" s="23" t="n">
        <v>26</v>
      </c>
      <c r="C4" s="24" t="n">
        <v>0</v>
      </c>
      <c r="D4" s="2"/>
    </row>
    <row r="5" customFormat="false" ht="15" hidden="false" customHeight="false" outlineLevel="0" collapsed="false">
      <c r="A5" s="3" t="s">
        <v>17</v>
      </c>
      <c r="B5" s="23" t="n">
        <v>28</v>
      </c>
      <c r="C5" s="24" t="n">
        <v>0</v>
      </c>
      <c r="D5" s="2"/>
    </row>
    <row r="6" customFormat="false" ht="15" hidden="false" customHeight="false" outlineLevel="0" collapsed="false">
      <c r="A6" s="3" t="s">
        <v>18</v>
      </c>
      <c r="B6" s="23" t="n">
        <v>35</v>
      </c>
      <c r="C6" s="24" t="n">
        <v>0</v>
      </c>
      <c r="D6" s="2"/>
    </row>
    <row r="7" customFormat="false" ht="15" hidden="false" customHeight="false" outlineLevel="0" collapsed="false">
      <c r="A7" s="3" t="s">
        <v>41</v>
      </c>
      <c r="B7" s="23" t="n">
        <v>18</v>
      </c>
      <c r="C7" s="24" t="n">
        <v>0</v>
      </c>
      <c r="D7" s="2"/>
    </row>
    <row r="8" customFormat="false" ht="15" hidden="false" customHeight="false" outlineLevel="0" collapsed="false">
      <c r="A8" s="3" t="s">
        <v>22</v>
      </c>
      <c r="B8" s="23" t="n">
        <v>20</v>
      </c>
      <c r="C8" s="25" t="n">
        <v>10</v>
      </c>
      <c r="D8" s="2" t="s">
        <v>42</v>
      </c>
    </row>
    <row r="9" customFormat="false" ht="15" hidden="false" customHeight="false" outlineLevel="0" collapsed="false">
      <c r="A9" s="3" t="s">
        <v>25</v>
      </c>
      <c r="B9" s="23" t="n">
        <v>30</v>
      </c>
      <c r="C9" s="24" t="n">
        <v>0</v>
      </c>
      <c r="D9" s="2"/>
    </row>
    <row r="10" customFormat="false" ht="15" hidden="false" customHeight="false" outlineLevel="0" collapsed="false">
      <c r="A10" s="3" t="s">
        <v>20</v>
      </c>
      <c r="B10" s="23" t="n">
        <v>30</v>
      </c>
      <c r="C10" s="24" t="n">
        <v>0</v>
      </c>
      <c r="D10" s="2"/>
    </row>
    <row r="11" customFormat="false" ht="15" hidden="false" customHeight="false" outlineLevel="0" collapsed="false">
      <c r="A11" s="3" t="s">
        <v>43</v>
      </c>
      <c r="B11" s="23" t="n">
        <v>60</v>
      </c>
      <c r="C11" s="24" t="n">
        <v>0</v>
      </c>
      <c r="D11" s="2"/>
    </row>
    <row r="12" customFormat="false" ht="15" hidden="false" customHeight="false" outlineLevel="0" collapsed="false">
      <c r="A12" s="3" t="s">
        <v>16</v>
      </c>
      <c r="B12" s="26"/>
      <c r="C12" s="24" t="n">
        <v>0</v>
      </c>
      <c r="D12" s="2" t="s">
        <v>44</v>
      </c>
    </row>
    <row r="13" customFormat="false" ht="15" hidden="false" customHeight="false" outlineLevel="0" collapsed="false">
      <c r="A13" s="3" t="s">
        <v>19</v>
      </c>
      <c r="B13" s="26"/>
      <c r="C13" s="24" t="n">
        <v>0</v>
      </c>
      <c r="D13" s="2" t="s">
        <v>44</v>
      </c>
    </row>
    <row r="14" customFormat="false" ht="15" hidden="false" customHeight="false" outlineLevel="0" collapsed="false">
      <c r="A14" s="3" t="s">
        <v>26</v>
      </c>
      <c r="B14" s="26"/>
      <c r="C14" s="24" t="n">
        <v>0</v>
      </c>
      <c r="D14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9" min="3" style="0" width="9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6" t="s">
        <v>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</row>
    <row r="2" customFormat="false" ht="15" hidden="false" customHeight="false" outlineLevel="0" collapsed="false">
      <c r="A2" s="3" t="s">
        <v>16</v>
      </c>
      <c r="B2" s="3"/>
      <c r="C2" s="24" t="n">
        <v>7.2</v>
      </c>
      <c r="D2" s="24"/>
      <c r="E2" s="24"/>
      <c r="F2" s="24"/>
      <c r="G2" s="24" t="n">
        <v>8</v>
      </c>
      <c r="H2" s="24" t="n">
        <v>7.9</v>
      </c>
      <c r="I2" s="24" t="n">
        <v>11.3</v>
      </c>
      <c r="J2" s="27" t="n">
        <f aca="false">SUM(C2:I2)</f>
        <v>34.4</v>
      </c>
      <c r="K2" s="24" t="n">
        <v>34.4</v>
      </c>
      <c r="L2" s="3" t="str">
        <f aca="false">IF(K2="","",IF(ABS(SUM(J2:J2)-K2)&lt;0.05,"OK","MISMATCH"))</f>
        <v>OK</v>
      </c>
    </row>
    <row r="3" customFormat="false" ht="15" hidden="false" customHeight="false" outlineLevel="0" collapsed="false">
      <c r="A3" s="3" t="s">
        <v>17</v>
      </c>
      <c r="B3" s="3"/>
      <c r="C3" s="24" t="n">
        <v>8</v>
      </c>
      <c r="D3" s="24"/>
      <c r="E3" s="24"/>
      <c r="F3" s="24" t="n">
        <v>7.9</v>
      </c>
      <c r="G3" s="24" t="n">
        <v>8.3</v>
      </c>
      <c r="H3" s="24" t="n">
        <v>9</v>
      </c>
      <c r="I3" s="24" t="n">
        <v>8.3</v>
      </c>
      <c r="J3" s="27" t="n">
        <f aca="false">SUM(C3:I3)</f>
        <v>41.5</v>
      </c>
      <c r="K3" s="24" t="n">
        <v>41.5</v>
      </c>
      <c r="L3" s="3" t="str">
        <f aca="false">IF(K3="","",IF(ABS(SUM(J3:J3)-K3)&lt;0.05,"OK","MISMATCH"))</f>
        <v>OK</v>
      </c>
    </row>
    <row r="4" customFormat="false" ht="15" hidden="false" customHeight="false" outlineLevel="0" collapsed="false">
      <c r="A4" s="3" t="s">
        <v>18</v>
      </c>
      <c r="B4" s="3"/>
      <c r="C4" s="24" t="n">
        <v>6.8</v>
      </c>
      <c r="D4" s="24"/>
      <c r="E4" s="24"/>
      <c r="F4" s="24" t="n">
        <v>8.4</v>
      </c>
      <c r="G4" s="24" t="n">
        <v>8.2</v>
      </c>
      <c r="H4" s="24" t="n">
        <v>7.4</v>
      </c>
      <c r="I4" s="24" t="n">
        <v>9</v>
      </c>
      <c r="J4" s="27" t="n">
        <f aca="false">SUM(C4:I4)</f>
        <v>39.8</v>
      </c>
      <c r="K4" s="24" t="n">
        <v>39.8</v>
      </c>
      <c r="L4" s="3" t="str">
        <f aca="false">IF(K4="","",IF(ABS(SUM(J4:J4)-K4)&lt;0.05,"OK","MISMATCH"))</f>
        <v>OK</v>
      </c>
    </row>
    <row r="5" customFormat="false" ht="15" hidden="false" customHeight="false" outlineLevel="0" collapsed="false">
      <c r="A5" s="3" t="s">
        <v>19</v>
      </c>
      <c r="B5" s="3" t="s">
        <v>56</v>
      </c>
      <c r="C5" s="24" t="n">
        <v>7.6</v>
      </c>
      <c r="D5" s="24"/>
      <c r="E5" s="24"/>
      <c r="F5" s="24"/>
      <c r="G5" s="24" t="n">
        <v>7.8</v>
      </c>
      <c r="H5" s="24" t="n">
        <v>8.2</v>
      </c>
      <c r="I5" s="24" t="n">
        <v>11.2</v>
      </c>
      <c r="J5" s="27" t="n">
        <f aca="false">SUM(C5:I5)</f>
        <v>34.8</v>
      </c>
      <c r="K5" s="24" t="n">
        <v>34.8</v>
      </c>
      <c r="L5" s="3" t="str">
        <f aca="false">IF(K5="","",IF(ABS(SUM(J5:J5)-K5)&lt;0.05,"OK","MISMATCH"))</f>
        <v>OK</v>
      </c>
    </row>
    <row r="6" customFormat="false" ht="15" hidden="false" customHeight="false" outlineLevel="0" collapsed="false">
      <c r="A6" s="3" t="s">
        <v>19</v>
      </c>
      <c r="B6" s="3" t="s">
        <v>57</v>
      </c>
      <c r="C6" s="24"/>
      <c r="D6" s="24"/>
      <c r="E6" s="24"/>
      <c r="F6" s="24" t="n">
        <v>8.6</v>
      </c>
      <c r="G6" s="24"/>
      <c r="H6" s="24"/>
      <c r="I6" s="24"/>
      <c r="J6" s="27" t="n">
        <f aca="false">SUM(C6:I6)</f>
        <v>8.6</v>
      </c>
      <c r="K6" s="24" t="n">
        <v>8.6</v>
      </c>
      <c r="L6" s="3" t="str">
        <f aca="false">IF(K6="","",IF(ABS(SUM(J6:J6)-K6)&lt;0.05,"OK","MISMATCH"))</f>
        <v>OK</v>
      </c>
    </row>
    <row r="7" customFormat="false" ht="15" hidden="false" customHeight="false" outlineLevel="0" collapsed="false">
      <c r="A7" s="3" t="s">
        <v>20</v>
      </c>
      <c r="B7" s="3"/>
      <c r="C7" s="24" t="n">
        <v>8.1</v>
      </c>
      <c r="D7" s="24"/>
      <c r="E7" s="24"/>
      <c r="F7" s="24" t="n">
        <v>9.5</v>
      </c>
      <c r="G7" s="24" t="n">
        <v>8.3</v>
      </c>
      <c r="H7" s="24" t="n">
        <v>10.1</v>
      </c>
      <c r="I7" s="24" t="n">
        <v>9.7</v>
      </c>
      <c r="J7" s="27" t="n">
        <f aca="false">SUM(C7:I7)</f>
        <v>45.7</v>
      </c>
      <c r="K7" s="24" t="n">
        <v>45.7</v>
      </c>
      <c r="L7" s="3" t="str">
        <f aca="false">IF(K7="","",IF(ABS(SUM(J7:J7)-K7)&lt;0.05,"OK","MISMATCH"))</f>
        <v>OK</v>
      </c>
    </row>
    <row r="8" customFormat="false" ht="15" hidden="false" customHeight="false" outlineLevel="0" collapsed="false">
      <c r="A8" s="3" t="s">
        <v>21</v>
      </c>
      <c r="B8" s="3"/>
      <c r="C8" s="24" t="n">
        <v>8</v>
      </c>
      <c r="D8" s="24" t="n">
        <v>4.2</v>
      </c>
      <c r="E8" s="24"/>
      <c r="F8" s="24" t="n">
        <v>9.1</v>
      </c>
      <c r="G8" s="24" t="n">
        <v>8.1</v>
      </c>
      <c r="H8" s="24" t="n">
        <v>6.7</v>
      </c>
      <c r="I8" s="24" t="n">
        <v>0.5</v>
      </c>
      <c r="J8" s="27" t="n">
        <f aca="false">SUM(C8:I8)</f>
        <v>36.6</v>
      </c>
      <c r="K8" s="24" t="n">
        <v>36.6</v>
      </c>
      <c r="L8" s="3" t="str">
        <f aca="false">IF(K8="","",IF(ABS(SUM(J8:J8)-K8)&lt;0.05,"OK","MISMATCH"))</f>
        <v>OK</v>
      </c>
    </row>
    <row r="9" customFormat="false" ht="15" hidden="false" customHeight="false" outlineLevel="0" collapsed="false">
      <c r="A9" s="3" t="s">
        <v>22</v>
      </c>
      <c r="B9" s="3"/>
      <c r="C9" s="24" t="n">
        <v>7.7</v>
      </c>
      <c r="D9" s="24"/>
      <c r="E9" s="24"/>
      <c r="F9" s="24"/>
      <c r="G9" s="24" t="n">
        <v>7.8</v>
      </c>
      <c r="H9" s="24" t="n">
        <v>7.9</v>
      </c>
      <c r="I9" s="24"/>
      <c r="J9" s="27" t="n">
        <f aca="false">SUM(C9:I9)</f>
        <v>23.4</v>
      </c>
      <c r="K9" s="24" t="n">
        <v>23.4</v>
      </c>
      <c r="L9" s="3" t="str">
        <f aca="false">IF(K9="","",IF(ABS(SUM(J9:J9)-K9)&lt;0.05,"OK","MISMATCH"))</f>
        <v>OK</v>
      </c>
    </row>
    <row r="10" customFormat="false" ht="15" hidden="false" customHeight="false" outlineLevel="0" collapsed="false">
      <c r="A10" s="3" t="s">
        <v>23</v>
      </c>
      <c r="B10" s="3"/>
      <c r="C10" s="24" t="n">
        <v>8</v>
      </c>
      <c r="D10" s="24" t="n">
        <v>3.8</v>
      </c>
      <c r="E10" s="24"/>
      <c r="F10" s="24" t="n">
        <v>8.1</v>
      </c>
      <c r="G10" s="24" t="n">
        <v>8.4</v>
      </c>
      <c r="H10" s="24" t="n">
        <v>7.9</v>
      </c>
      <c r="I10" s="24" t="n">
        <v>7.9</v>
      </c>
      <c r="J10" s="27" t="n">
        <f aca="false">SUM(C10:I10)</f>
        <v>44.1</v>
      </c>
      <c r="K10" s="24" t="n">
        <v>44.1</v>
      </c>
      <c r="L10" s="3" t="str">
        <f aca="false">IF(K10="","",IF(ABS(SUM(J10:J10)-K10)&lt;0.05,"OK","MISMATCH"))</f>
        <v>OK</v>
      </c>
    </row>
    <row r="11" customFormat="false" ht="15" hidden="false" customHeight="false" outlineLevel="0" collapsed="false">
      <c r="A11" s="3" t="s">
        <v>24</v>
      </c>
      <c r="B11" s="3"/>
      <c r="C11" s="24" t="n">
        <v>8.2</v>
      </c>
      <c r="D11" s="24" t="n">
        <v>7.6</v>
      </c>
      <c r="E11" s="24"/>
      <c r="F11" s="24" t="n">
        <v>7.9</v>
      </c>
      <c r="G11" s="24" t="n">
        <v>4.7</v>
      </c>
      <c r="H11" s="24" t="n">
        <v>8.2</v>
      </c>
      <c r="I11" s="24" t="n">
        <v>7.8</v>
      </c>
      <c r="J11" s="27" t="n">
        <f aca="false">SUM(C11:I11)</f>
        <v>44.4</v>
      </c>
      <c r="K11" s="24" t="n">
        <v>44.4</v>
      </c>
      <c r="L11" s="3" t="str">
        <f aca="false">IF(K11="","",IF(ABS(SUM(J11:J11)-K11)&lt;0.05,"OK","MISMATCH"))</f>
        <v>OK</v>
      </c>
    </row>
    <row r="12" customFormat="false" ht="15" hidden="false" customHeight="false" outlineLevel="0" collapsed="false">
      <c r="A12" s="3" t="s">
        <v>25</v>
      </c>
      <c r="B12" s="3"/>
      <c r="C12" s="24" t="n">
        <v>8.3</v>
      </c>
      <c r="D12" s="24" t="n">
        <v>7.6</v>
      </c>
      <c r="E12" s="24"/>
      <c r="F12" s="24" t="n">
        <v>8.1</v>
      </c>
      <c r="G12" s="24" t="n">
        <v>8.4</v>
      </c>
      <c r="H12" s="24" t="n">
        <v>8.1</v>
      </c>
      <c r="I12" s="24" t="n">
        <v>9.9</v>
      </c>
      <c r="J12" s="27" t="n">
        <f aca="false">SUM(C12:I12)</f>
        <v>50.4</v>
      </c>
      <c r="K12" s="24" t="n">
        <v>50.4</v>
      </c>
      <c r="L12" s="3" t="str">
        <f aca="false">IF(K12="","",IF(ABS(SUM(J12:J12)-K12)&lt;0.05,"OK","MISMATCH"))</f>
        <v>OK</v>
      </c>
    </row>
    <row r="13" customFormat="false" ht="15" hidden="false" customHeight="false" outlineLevel="0" collapsed="false">
      <c r="A13" s="3" t="s">
        <v>26</v>
      </c>
      <c r="B13" s="3"/>
      <c r="C13" s="24" t="n">
        <v>9.2</v>
      </c>
      <c r="D13" s="24"/>
      <c r="E13" s="24"/>
      <c r="F13" s="24" t="n">
        <v>10</v>
      </c>
      <c r="G13" s="24" t="n">
        <v>8.8</v>
      </c>
      <c r="H13" s="24" t="n">
        <v>9.1</v>
      </c>
      <c r="I13" s="24" t="n">
        <v>9.3</v>
      </c>
      <c r="J13" s="27" t="n">
        <f aca="false">SUM(C13:I13)</f>
        <v>46.4</v>
      </c>
      <c r="K13" s="24" t="n">
        <v>46.4</v>
      </c>
      <c r="L13" s="3" t="str">
        <f aca="false">IF(K13="","",IF(ABS(SUM(J13:J13)-K13)&lt;0.05,"OK","MISMATCH"))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2026-10-09T02:11:04Z</dcterms:created>
  <dc:creator>openpyxl</dc:creator>
  <dc:description/>
  <dc:language>en-US</dc:language>
  <cp:lastModifiedBy/>
  <dcterms:modified xsi:type="dcterms:W3CDTF">2026-10-09T02:11:04Z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